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<sst xmlns="http://schemas.openxmlformats.org/spreadsheetml/2006/main" count="222" uniqueCount="164">
  <si>
    <t xml:space="preserve">Ramas ERP – Client Lead Tracker</t>
  </si>
  <si>
    <t xml:space="preserve">Update the Status column from the dropdown. Source: each company's official website, checked 5 Oct 2026.</t>
  </si>
  <si>
    <t xml:space="preserve">#</t>
  </si>
  <si>
    <t xml:space="preserve">Company</t>
  </si>
  <si>
    <t xml:space="preserve">City / State</t>
  </si>
  <si>
    <t xml:space="preserve">Type</t>
  </si>
  <si>
    <t xml:space="preserve">Email</t>
  </si>
  <si>
    <t xml:space="preserve">Phone / WhatsApp</t>
  </si>
  <si>
    <t xml:space="preserve">Website</t>
  </si>
  <si>
    <t xml:space="preserve">Why it fits</t>
  </si>
  <si>
    <t xml:space="preserve">Status</t>
  </si>
  <si>
    <t xml:space="preserve">Sent on</t>
  </si>
  <si>
    <t xml:space="preserve">Reply / Notes</t>
  </si>
  <si>
    <t xml:space="preserve">New India Express Logistics</t>
  </si>
  <si>
    <t xml:space="preserve">Jaipur, RJ</t>
  </si>
  <si>
    <t xml:space="preserve">Transport</t>
  </si>
  <si>
    <t xml:space="preserve">jaipur@newindiaexp.com</t>
  </si>
  <si>
    <t xml:space="preserve">7378090000</t>
  </si>
  <si>
    <t xml:space="preserve">https://www.newindiaexp.com/</t>
  </si>
  <si>
    <t xml:space="preserve">22 branches, itemised GR billing</t>
  </si>
  <si>
    <t xml:space="preserve">Sent</t>
  </si>
  <si>
    <t xml:space="preserve">2026-10-05</t>
  </si>
  <si>
    <t xml:space="preserve">Gujrat Transport</t>
  </si>
  <si>
    <t xml:space="preserve">Mumbai/Gujarat</t>
  </si>
  <si>
    <t xml:space="preserve">gujrattransport@hotmail.com</t>
  </si>
  <si>
    <t xml:space="preserve">+91 9820428851</t>
  </si>
  <si>
    <t xml:space="preserve">https://gujrattransport.com/</t>
  </si>
  <si>
    <t xml:space="preserve">70+ booking offices</t>
  </si>
  <si>
    <t xml:space="preserve">Quick Couriers &amp; Logistics</t>
  </si>
  <si>
    <t xml:space="preserve">Mumbai, MH</t>
  </si>
  <si>
    <t xml:space="preserve">Courier</t>
  </si>
  <si>
    <t xml:space="preserve">gaurav@quickcl.com</t>
  </si>
  <si>
    <t xml:space="preserve">+91 9619337788</t>
  </si>
  <si>
    <t xml:space="preserve">https://quickcl.com/</t>
  </si>
  <si>
    <t xml:space="preserve">Growing via franchises</t>
  </si>
  <si>
    <t xml:space="preserve">Great India Roadways</t>
  </si>
  <si>
    <t xml:space="preserve">Odisha + others</t>
  </si>
  <si>
    <t xml:space="preserve">support@greatindia.net.in</t>
  </si>
  <si>
    <t xml:space="preserve">https://greatindia.net.in/</t>
  </si>
  <si>
    <t xml:space="preserve">100+ branches, CN tracking</t>
  </si>
  <si>
    <t xml:space="preserve">DRTC (Delhi Rajasthan Transport)</t>
  </si>
  <si>
    <t xml:space="preserve">Jodhpur, RJ</t>
  </si>
  <si>
    <t xml:space="preserve">customercare@drtcindia.com</t>
  </si>
  <si>
    <t xml:space="preserve">0291-2633673</t>
  </si>
  <si>
    <t xml:space="preserve">https://drtcindia.com/</t>
  </si>
  <si>
    <t xml:space="preserve">300+ branches, PTL/FTL</t>
  </si>
  <si>
    <t xml:space="preserve">Franch Express Courier</t>
  </si>
  <si>
    <t xml:space="preserve">Chennai, TN</t>
  </si>
  <si>
    <t xml:space="preserve">info@franchexpress.com</t>
  </si>
  <si>
    <t xml:space="preserve">044-66332333</t>
  </si>
  <si>
    <t xml:space="preserve">https://franchexpress.com/</t>
  </si>
  <si>
    <t xml:space="preserve">1,200+ branches, franchise network</t>
  </si>
  <si>
    <t xml:space="preserve">Mehta Transport Corporation</t>
  </si>
  <si>
    <t xml:space="preserve">New Delhi</t>
  </si>
  <si>
    <t xml:space="preserve">info@mtcoi.in</t>
  </si>
  <si>
    <t xml:space="preserve">+91 9718641641</t>
  </si>
  <si>
    <t xml:space="preserve">https://mehtatransportcorporations.com/</t>
  </si>
  <si>
    <t xml:space="preserve">650+ trucks, already has ERP</t>
  </si>
  <si>
    <t xml:space="preserve">Draft ready – send manually</t>
  </si>
  <si>
    <t xml:space="preserve">Super Air Express Courier</t>
  </si>
  <si>
    <t xml:space="preserve">Kanpur, UP</t>
  </si>
  <si>
    <t xml:space="preserve">Courier/Cargo</t>
  </si>
  <si>
    <t xml:space="preserve">superairexp@gmail.com</t>
  </si>
  <si>
    <t xml:space="preserve">+91 9839115359</t>
  </si>
  <si>
    <t xml:space="preserve">https://superairexpresscourier.co.in/</t>
  </si>
  <si>
    <t xml:space="preserve">14 branches in UP; small, likely no ERP</t>
  </si>
  <si>
    <t xml:space="preserve">Not sent</t>
  </si>
  <si>
    <t xml:space="preserve">DPGC Group</t>
  </si>
  <si>
    <t xml:space="preserve">Jalandhar, PB</t>
  </si>
  <si>
    <t xml:space="preserve">info@dpgcgroup.com</t>
  </si>
  <si>
    <t xml:space="preserve">0181-4635560</t>
  </si>
  <si>
    <t xml:space="preserve">https://www.dpgcgroup.com/</t>
  </si>
  <si>
    <t xml:space="preserve">200+ branches, 11 states</t>
  </si>
  <si>
    <t xml:space="preserve">SkyKing Courier</t>
  </si>
  <si>
    <t xml:space="preserve">Kolkata, WB</t>
  </si>
  <si>
    <t xml:space="preserve">support@skyking.co</t>
  </si>
  <si>
    <t xml:space="preserve">+91 9681872430</t>
  </si>
  <si>
    <t xml:space="preserve">https://skyking.co/</t>
  </si>
  <si>
    <t xml:space="preserve">50+ Kolkata branches, 25+ cities, COD</t>
  </si>
  <si>
    <t xml:space="preserve">A1 Travels &amp; Speed Parcel Service</t>
  </si>
  <si>
    <t xml:space="preserve">Coimbatore, TN</t>
  </si>
  <si>
    <t xml:space="preserve">Parcel</t>
  </si>
  <si>
    <t xml:space="preserve">a1parcel.india@gmail.com</t>
  </si>
  <si>
    <t xml:space="preserve">9790002552</t>
  </si>
  <si>
    <t xml:space="preserve">https://www.a1parcel.in/</t>
  </si>
  <si>
    <t xml:space="preserve">400+ branches, uses Gmail ID</t>
  </si>
  <si>
    <t xml:space="preserve">KRS Logistics (Kerala Roadways)</t>
  </si>
  <si>
    <t xml:space="preserve">Kozhikode, KL</t>
  </si>
  <si>
    <t xml:space="preserve">Transport/Parcel</t>
  </si>
  <si>
    <t xml:space="preserve">cs@krs.in</t>
  </si>
  <si>
    <t xml:space="preserve">+91 495 4099999</t>
  </si>
  <si>
    <t xml:space="preserve">https://www.krs.in/</t>
  </si>
  <si>
    <t xml:space="preserve">400 offices, 1,000+ locations</t>
  </si>
  <si>
    <t xml:space="preserve">SRE Cargo Carriers</t>
  </si>
  <si>
    <t xml:space="preserve">Chitradurga, KA</t>
  </si>
  <si>
    <t xml:space="preserve">Parcel/Cargo</t>
  </si>
  <si>
    <t xml:space="preserve">support@srecargo.com</t>
  </si>
  <si>
    <t xml:space="preserve">7829987111</t>
  </si>
  <si>
    <t xml:space="preserve">http://srecargo.com/</t>
  </si>
  <si>
    <t xml:space="preserve">Own booking offices in 5 states</t>
  </si>
  <si>
    <t xml:space="preserve">QMS Courier &amp; Cargo</t>
  </si>
  <si>
    <t xml:space="preserve">Pune, MH</t>
  </si>
  <si>
    <t xml:space="preserve">sales@qms.co.in</t>
  </si>
  <si>
    <t xml:space="preserve">+91 7353929800</t>
  </si>
  <si>
    <t xml:space="preserve">https://www.qmscourier.com/</t>
  </si>
  <si>
    <t xml:space="preserve">200+ cities, regional offices</t>
  </si>
  <si>
    <t xml:space="preserve">Velocity Express</t>
  </si>
  <si>
    <t xml:space="preserve">info@velexp.com</t>
  </si>
  <si>
    <t xml:space="preserve">+91 9021322132</t>
  </si>
  <si>
    <t xml:space="preserve">https://velexp.com/</t>
  </si>
  <si>
    <t xml:space="preserve">50+ offices, 700+ staff</t>
  </si>
  <si>
    <t xml:space="preserve">Speed Cargo Carriers</t>
  </si>
  <si>
    <t xml:space="preserve">Guwahati, AS</t>
  </si>
  <si>
    <t xml:space="preserve">Cargo</t>
  </si>
  <si>
    <t xml:space="preserve">Speedcargocarriers11@gmail.com</t>
  </si>
  <si>
    <t xml:space="preserve">8638659881</t>
  </si>
  <si>
    <t xml:space="preserve">http://www.speedcargocarriers.in/</t>
  </si>
  <si>
    <t xml:space="preserve">Small NE cargo firm, Gmail ID</t>
  </si>
  <si>
    <t xml:space="preserve">JBS Cargo &amp; Logistics</t>
  </si>
  <si>
    <t xml:space="preserve">Bhubaneswar, OD</t>
  </si>
  <si>
    <t xml:space="preserve">Cargo/Courier</t>
  </si>
  <si>
    <t xml:space="preserve">jbscargo@gmail.com</t>
  </si>
  <si>
    <t xml:space="preserve">+91 9853034611</t>
  </si>
  <si>
    <t xml:space="preserve">https://jbsgrup.com/</t>
  </si>
  <si>
    <t xml:space="preserve">Since 2015, all Odisha districts</t>
  </si>
  <si>
    <t xml:space="preserve">Bhavna Roadways</t>
  </si>
  <si>
    <t xml:space="preserve">brbmy@bhavnaroadways.com</t>
  </si>
  <si>
    <t xml:space="preserve">+91 9699900066</t>
  </si>
  <si>
    <t xml:space="preserve">https://bhavnaroadways.com/</t>
  </si>
  <si>
    <t xml:space="preserve">120+ vehicles, Gujarat + Maharashtra</t>
  </si>
  <si>
    <t xml:space="preserve">Jamnagar Transport Company</t>
  </si>
  <si>
    <t xml:space="preserve">Surat, GJ</t>
  </si>
  <si>
    <t xml:space="preserve">9737047114</t>
  </si>
  <si>
    <t xml:space="preserve">https://www.jamnagartransportco.com/</t>
  </si>
  <si>
    <t xml:space="preserve">50+ Gujarat branches – WhatsApp lead</t>
  </si>
  <si>
    <t xml:space="preserve">Mettur Transports (mSs)</t>
  </si>
  <si>
    <t xml:space="preserve">Salem, TN</t>
  </si>
  <si>
    <t xml:space="preserve">+91 9443310770</t>
  </si>
  <si>
    <t xml:space="preserve">https://www.metturtransports.com/</t>
  </si>
  <si>
    <t xml:space="preserve">686 branches in South India – WhatsApp lead</t>
  </si>
  <si>
    <t xml:space="preserve">Falcon Courier Service</t>
  </si>
  <si>
    <t xml:space="preserve">+91 9979974457</t>
  </si>
  <si>
    <t xml:space="preserve">https://www.falconcourier.org/</t>
  </si>
  <si>
    <t xml:space="preserve">Branches + franchisees – WhatsApp lead</t>
  </si>
  <si>
    <t xml:space="preserve">Odisha Transport &amp; Courier Service</t>
  </si>
  <si>
    <t xml:space="preserve">063715 12358</t>
  </si>
  <si>
    <t xml:space="preserve">https://odisha-transport-courier-service.ueniweb.com/</t>
  </si>
  <si>
    <t xml:space="preserve">Small local firm – WhatsApp lead</t>
  </si>
  <si>
    <t xml:space="preserve">New Jay Mataji Roadways</t>
  </si>
  <si>
    <t xml:space="preserve">Vadodara, GJ</t>
  </si>
  <si>
    <t xml:space="preserve">99989 39917</t>
  </si>
  <si>
    <t xml:space="preserve">https://www.gujarattransporters.com/</t>
  </si>
  <si>
    <t xml:space="preserve">Listed as recent – WhatsApp lead</t>
  </si>
  <si>
    <t xml:space="preserve">Anshu Transport Service</t>
  </si>
  <si>
    <t xml:space="preserve">99242 19822</t>
  </si>
  <si>
    <t xml:space="preserve">Patna National Roadlines</t>
  </si>
  <si>
    <t xml:space="preserve">99980 95696</t>
  </si>
  <si>
    <t xml:space="preserve">Count</t>
  </si>
  <si>
    <t xml:space="preserve">Replied</t>
  </si>
  <si>
    <t xml:space="preserve">Demo done</t>
  </si>
  <si>
    <t xml:space="preserve">Won</t>
  </si>
  <si>
    <t xml:space="preserve">Not interested</t>
  </si>
  <si>
    <t xml:space="preserve">Total leads</t>
  </si>
  <si>
    <t xml:space="preserve">Leads with email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</si>
</sst>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8" min="8" style="0" width="38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5" t="s">
        <v>19</v>
      </c>
      <c r="I5" s="4" t="s">
        <v>20</v>
      </c>
      <c r="J5" s="4" t="s">
        <v>21</v>
      </c>
      <c r="K5" s="5"/>
    </row>
    <row r="6" customFormat="false" ht="15" hidden="false" customHeight="false" outlineLevel="0" collapsed="false">
      <c r="A6" s="4" t="n">
        <v>2</v>
      </c>
      <c r="B6" s="4" t="s">
        <v>22</v>
      </c>
      <c r="C6" s="4" t="s">
        <v>23</v>
      </c>
      <c r="D6" s="4" t="s">
        <v>15</v>
      </c>
      <c r="E6" s="4" t="s">
        <v>24</v>
      </c>
      <c r="F6" s="4" t="s">
        <v>25</v>
      </c>
      <c r="G6" s="4" t="s">
        <v>26</v>
      </c>
      <c r="H6" s="5" t="s">
        <v>27</v>
      </c>
      <c r="I6" s="4" t="s">
        <v>20</v>
      </c>
      <c r="J6" s="4" t="s">
        <v>21</v>
      </c>
      <c r="K6" s="5"/>
    </row>
    <row r="7" customFormat="false" ht="15" hidden="false" customHeight="false" outlineLevel="0" collapsed="false">
      <c r="A7" s="4" t="n">
        <v>3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5" t="s">
        <v>34</v>
      </c>
      <c r="I7" s="4" t="s">
        <v>20</v>
      </c>
      <c r="J7" s="4" t="s">
        <v>21</v>
      </c>
      <c r="K7" s="5"/>
    </row>
    <row r="8" customFormat="false" ht="15" hidden="false" customHeight="false" outlineLevel="0" collapsed="false">
      <c r="A8" s="4" t="n">
        <v>4</v>
      </c>
      <c r="B8" s="4" t="s">
        <v>35</v>
      </c>
      <c r="C8" s="4" t="s">
        <v>36</v>
      </c>
      <c r="D8" s="4" t="s">
        <v>15</v>
      </c>
      <c r="E8" s="4" t="s">
        <v>37</v>
      </c>
      <c r="F8" s="4"/>
      <c r="G8" s="4" t="s">
        <v>38</v>
      </c>
      <c r="H8" s="5" t="s">
        <v>39</v>
      </c>
      <c r="I8" s="4" t="s">
        <v>20</v>
      </c>
      <c r="J8" s="4" t="s">
        <v>21</v>
      </c>
      <c r="K8" s="5"/>
    </row>
    <row r="9" customFormat="false" ht="15" hidden="false" customHeight="false" outlineLevel="0" collapsed="false">
      <c r="A9" s="4" t="n">
        <v>5</v>
      </c>
      <c r="B9" s="4" t="s">
        <v>40</v>
      </c>
      <c r="C9" s="4" t="s">
        <v>41</v>
      </c>
      <c r="D9" s="4" t="s">
        <v>15</v>
      </c>
      <c r="E9" s="4" t="s">
        <v>42</v>
      </c>
      <c r="F9" s="4" t="s">
        <v>43</v>
      </c>
      <c r="G9" s="4" t="s">
        <v>44</v>
      </c>
      <c r="H9" s="5" t="s">
        <v>45</v>
      </c>
      <c r="I9" s="4" t="s">
        <v>20</v>
      </c>
      <c r="J9" s="4" t="s">
        <v>21</v>
      </c>
      <c r="K9" s="5"/>
    </row>
    <row r="10" customFormat="false" ht="15" hidden="false" customHeight="false" outlineLevel="0" collapsed="false">
      <c r="A10" s="4" t="n">
        <v>6</v>
      </c>
      <c r="B10" s="4" t="s">
        <v>46</v>
      </c>
      <c r="C10" s="4" t="s">
        <v>47</v>
      </c>
      <c r="D10" s="4" t="s">
        <v>30</v>
      </c>
      <c r="E10" s="4" t="s">
        <v>48</v>
      </c>
      <c r="F10" s="4" t="s">
        <v>49</v>
      </c>
      <c r="G10" s="4" t="s">
        <v>50</v>
      </c>
      <c r="H10" s="5" t="s">
        <v>51</v>
      </c>
      <c r="I10" s="4" t="s">
        <v>20</v>
      </c>
      <c r="J10" s="4" t="s">
        <v>21</v>
      </c>
      <c r="K10" s="5"/>
    </row>
    <row r="11" customFormat="false" ht="15" hidden="false" customHeight="false" outlineLevel="0" collapsed="false">
      <c r="A11" s="4" t="n">
        <v>7</v>
      </c>
      <c r="B11" s="4" t="s">
        <v>52</v>
      </c>
      <c r="C11" s="4" t="s">
        <v>53</v>
      </c>
      <c r="D11" s="4" t="s">
        <v>15</v>
      </c>
      <c r="E11" s="4" t="s">
        <v>54</v>
      </c>
      <c r="F11" s="4" t="s">
        <v>55</v>
      </c>
      <c r="G11" s="4" t="s">
        <v>56</v>
      </c>
      <c r="H11" s="5" t="s">
        <v>57</v>
      </c>
      <c r="I11" s="4" t="s">
        <v>58</v>
      </c>
      <c r="J11" s="4"/>
      <c r="K11" s="5"/>
    </row>
    <row r="12" customFormat="false" ht="15" hidden="false" customHeight="false" outlineLevel="0" collapsed="false">
      <c r="A12" s="4" t="n">
        <v>8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63</v>
      </c>
      <c r="G12" s="4" t="s">
        <v>64</v>
      </c>
      <c r="H12" s="5" t="s">
        <v>65</v>
      </c>
      <c r="I12" s="4" t="s">
        <v>66</v>
      </c>
      <c r="J12" s="4"/>
      <c r="K12" s="5"/>
    </row>
    <row r="13" customFormat="false" ht="15" hidden="false" customHeight="false" outlineLevel="0" collapsed="false">
      <c r="A13" s="4" t="n">
        <v>9</v>
      </c>
      <c r="B13" s="4" t="s">
        <v>67</v>
      </c>
      <c r="C13" s="4" t="s">
        <v>68</v>
      </c>
      <c r="D13" s="4" t="s">
        <v>15</v>
      </c>
      <c r="E13" s="4" t="s">
        <v>69</v>
      </c>
      <c r="F13" s="4" t="s">
        <v>70</v>
      </c>
      <c r="G13" s="4" t="s">
        <v>71</v>
      </c>
      <c r="H13" s="5" t="s">
        <v>72</v>
      </c>
      <c r="I13" s="4" t="s">
        <v>66</v>
      </c>
      <c r="J13" s="4"/>
      <c r="K13" s="5"/>
    </row>
    <row r="14" customFormat="false" ht="15" hidden="false" customHeight="false" outlineLevel="0" collapsed="false">
      <c r="A14" s="4" t="n">
        <v>10</v>
      </c>
      <c r="B14" s="4" t="s">
        <v>73</v>
      </c>
      <c r="C14" s="4" t="s">
        <v>74</v>
      </c>
      <c r="D14" s="4" t="s">
        <v>30</v>
      </c>
      <c r="E14" s="4" t="s">
        <v>75</v>
      </c>
      <c r="F14" s="4" t="s">
        <v>76</v>
      </c>
      <c r="G14" s="4" t="s">
        <v>77</v>
      </c>
      <c r="H14" s="5" t="s">
        <v>78</v>
      </c>
      <c r="I14" s="4" t="s">
        <v>66</v>
      </c>
      <c r="J14" s="4"/>
      <c r="K14" s="5"/>
    </row>
    <row r="15" customFormat="false" ht="15" hidden="false" customHeight="false" outlineLevel="0" collapsed="false">
      <c r="A15" s="4" t="n">
        <v>11</v>
      </c>
      <c r="B15" s="4" t="s">
        <v>79</v>
      </c>
      <c r="C15" s="4" t="s">
        <v>80</v>
      </c>
      <c r="D15" s="4" t="s">
        <v>81</v>
      </c>
      <c r="E15" s="4" t="s">
        <v>82</v>
      </c>
      <c r="F15" s="4" t="s">
        <v>83</v>
      </c>
      <c r="G15" s="4" t="s">
        <v>84</v>
      </c>
      <c r="H15" s="5" t="s">
        <v>85</v>
      </c>
      <c r="I15" s="4" t="s">
        <v>66</v>
      </c>
      <c r="J15" s="4"/>
      <c r="K15" s="5"/>
    </row>
    <row r="16" customFormat="false" ht="15" hidden="false" customHeight="false" outlineLevel="0" collapsed="false">
      <c r="A16" s="4" t="n">
        <v>12</v>
      </c>
      <c r="B16" s="4" t="s">
        <v>86</v>
      </c>
      <c r="C16" s="4" t="s">
        <v>87</v>
      </c>
      <c r="D16" s="4" t="s">
        <v>88</v>
      </c>
      <c r="E16" s="4" t="s">
        <v>89</v>
      </c>
      <c r="F16" s="4" t="s">
        <v>90</v>
      </c>
      <c r="G16" s="4" t="s">
        <v>91</v>
      </c>
      <c r="H16" s="5" t="s">
        <v>92</v>
      </c>
      <c r="I16" s="4" t="s">
        <v>66</v>
      </c>
      <c r="J16" s="4"/>
      <c r="K16" s="5"/>
    </row>
    <row r="17" customFormat="false" ht="15" hidden="false" customHeight="false" outlineLevel="0" collapsed="false">
      <c r="A17" s="4" t="n">
        <v>13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4" t="s">
        <v>98</v>
      </c>
      <c r="H17" s="5" t="s">
        <v>99</v>
      </c>
      <c r="I17" s="4" t="s">
        <v>66</v>
      </c>
      <c r="J17" s="4"/>
      <c r="K17" s="5"/>
    </row>
    <row r="18" customFormat="false" ht="15" hidden="false" customHeight="false" outlineLevel="0" collapsed="false">
      <c r="A18" s="4" t="n">
        <v>14</v>
      </c>
      <c r="B18" s="4" t="s">
        <v>100</v>
      </c>
      <c r="C18" s="4" t="s">
        <v>101</v>
      </c>
      <c r="D18" s="4" t="s">
        <v>30</v>
      </c>
      <c r="E18" s="4" t="s">
        <v>102</v>
      </c>
      <c r="F18" s="4" t="s">
        <v>103</v>
      </c>
      <c r="G18" s="4" t="s">
        <v>104</v>
      </c>
      <c r="H18" s="5" t="s">
        <v>105</v>
      </c>
      <c r="I18" s="4" t="s">
        <v>66</v>
      </c>
      <c r="J18" s="4"/>
      <c r="K18" s="5"/>
    </row>
    <row r="19" customFormat="false" ht="15" hidden="false" customHeight="false" outlineLevel="0" collapsed="false">
      <c r="A19" s="4" t="n">
        <v>15</v>
      </c>
      <c r="B19" s="4" t="s">
        <v>106</v>
      </c>
      <c r="C19" s="4" t="s">
        <v>101</v>
      </c>
      <c r="D19" s="4" t="s">
        <v>30</v>
      </c>
      <c r="E19" s="4" t="s">
        <v>107</v>
      </c>
      <c r="F19" s="4" t="s">
        <v>108</v>
      </c>
      <c r="G19" s="4" t="s">
        <v>109</v>
      </c>
      <c r="H19" s="5" t="s">
        <v>110</v>
      </c>
      <c r="I19" s="4" t="s">
        <v>66</v>
      </c>
      <c r="J19" s="4"/>
      <c r="K19" s="5"/>
    </row>
    <row r="20" customFormat="false" ht="15" hidden="false" customHeight="false" outlineLevel="0" collapsed="false">
      <c r="A20" s="4" t="n">
        <v>16</v>
      </c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115</v>
      </c>
      <c r="G20" s="4" t="s">
        <v>116</v>
      </c>
      <c r="H20" s="5" t="s">
        <v>117</v>
      </c>
      <c r="I20" s="4" t="s">
        <v>66</v>
      </c>
      <c r="J20" s="4"/>
      <c r="K20" s="5"/>
    </row>
    <row r="21" customFormat="false" ht="15" hidden="false" customHeight="false" outlineLevel="0" collapsed="false">
      <c r="A21" s="4" t="n">
        <v>17</v>
      </c>
      <c r="B21" s="4" t="s">
        <v>118</v>
      </c>
      <c r="C21" s="4" t="s">
        <v>119</v>
      </c>
      <c r="D21" s="4" t="s">
        <v>120</v>
      </c>
      <c r="E21" s="4" t="s">
        <v>121</v>
      </c>
      <c r="F21" s="4" t="s">
        <v>122</v>
      </c>
      <c r="G21" s="4" t="s">
        <v>123</v>
      </c>
      <c r="H21" s="5" t="s">
        <v>124</v>
      </c>
      <c r="I21" s="4" t="s">
        <v>66</v>
      </c>
      <c r="J21" s="4"/>
      <c r="K21" s="5"/>
    </row>
    <row r="22" customFormat="false" ht="15" hidden="false" customHeight="false" outlineLevel="0" collapsed="false">
      <c r="A22" s="4" t="n">
        <v>18</v>
      </c>
      <c r="B22" s="4" t="s">
        <v>125</v>
      </c>
      <c r="C22" s="4" t="s">
        <v>29</v>
      </c>
      <c r="D22" s="4" t="s">
        <v>15</v>
      </c>
      <c r="E22" s="4" t="s">
        <v>126</v>
      </c>
      <c r="F22" s="4" t="s">
        <v>127</v>
      </c>
      <c r="G22" s="4" t="s">
        <v>128</v>
      </c>
      <c r="H22" s="5" t="s">
        <v>129</v>
      </c>
      <c r="I22" s="4" t="s">
        <v>66</v>
      </c>
      <c r="J22" s="4"/>
      <c r="K22" s="5"/>
    </row>
    <row r="23" customFormat="false" ht="15" hidden="false" customHeight="false" outlineLevel="0" collapsed="false">
      <c r="A23" s="4" t="n">
        <v>19</v>
      </c>
      <c r="B23" s="4" t="s">
        <v>130</v>
      </c>
      <c r="C23" s="4" t="s">
        <v>131</v>
      </c>
      <c r="D23" s="4" t="s">
        <v>15</v>
      </c>
      <c r="E23" s="4"/>
      <c r="F23" s="4" t="s">
        <v>132</v>
      </c>
      <c r="G23" s="4" t="s">
        <v>133</v>
      </c>
      <c r="H23" s="5" t="s">
        <v>134</v>
      </c>
      <c r="I23" s="4" t="s">
        <v>66</v>
      </c>
      <c r="J23" s="4"/>
      <c r="K23" s="5"/>
    </row>
    <row r="24" customFormat="false" ht="15" hidden="false" customHeight="false" outlineLevel="0" collapsed="false">
      <c r="A24" s="4" t="n">
        <v>20</v>
      </c>
      <c r="B24" s="4" t="s">
        <v>135</v>
      </c>
      <c r="C24" s="4" t="s">
        <v>136</v>
      </c>
      <c r="D24" s="4" t="s">
        <v>81</v>
      </c>
      <c r="E24" s="4"/>
      <c r="F24" s="4" t="s">
        <v>137</v>
      </c>
      <c r="G24" s="4" t="s">
        <v>138</v>
      </c>
      <c r="H24" s="5" t="s">
        <v>139</v>
      </c>
      <c r="I24" s="4" t="s">
        <v>66</v>
      </c>
      <c r="J24" s="4"/>
      <c r="K24" s="5"/>
    </row>
    <row r="25" customFormat="false" ht="15" hidden="false" customHeight="false" outlineLevel="0" collapsed="false">
      <c r="A25" s="4" t="n">
        <v>21</v>
      </c>
      <c r="B25" s="4" t="s">
        <v>140</v>
      </c>
      <c r="C25" s="4" t="s">
        <v>101</v>
      </c>
      <c r="D25" s="4" t="s">
        <v>30</v>
      </c>
      <c r="E25" s="4"/>
      <c r="F25" s="4" t="s">
        <v>141</v>
      </c>
      <c r="G25" s="4" t="s">
        <v>142</v>
      </c>
      <c r="H25" s="5" t="s">
        <v>143</v>
      </c>
      <c r="I25" s="4" t="s">
        <v>66</v>
      </c>
      <c r="J25" s="4"/>
      <c r="K25" s="5"/>
    </row>
    <row r="26" customFormat="false" ht="15" hidden="false" customHeight="false" outlineLevel="0" collapsed="false">
      <c r="A26" s="4" t="n">
        <v>22</v>
      </c>
      <c r="B26" s="4" t="s">
        <v>144</v>
      </c>
      <c r="C26" s="4" t="s">
        <v>119</v>
      </c>
      <c r="D26" s="4" t="s">
        <v>30</v>
      </c>
      <c r="E26" s="4"/>
      <c r="F26" s="4" t="s">
        <v>145</v>
      </c>
      <c r="G26" s="4" t="s">
        <v>146</v>
      </c>
      <c r="H26" s="5" t="s">
        <v>147</v>
      </c>
      <c r="I26" s="4" t="s">
        <v>66</v>
      </c>
      <c r="J26" s="4"/>
      <c r="K26" s="5"/>
    </row>
    <row r="27" customFormat="false" ht="15" hidden="false" customHeight="false" outlineLevel="0" collapsed="false">
      <c r="A27" s="4" t="n">
        <v>23</v>
      </c>
      <c r="B27" s="4" t="s">
        <v>148</v>
      </c>
      <c r="C27" s="4" t="s">
        <v>149</v>
      </c>
      <c r="D27" s="4" t="s">
        <v>15</v>
      </c>
      <c r="E27" s="4"/>
      <c r="F27" s="4" t="s">
        <v>150</v>
      </c>
      <c r="G27" s="4" t="s">
        <v>151</v>
      </c>
      <c r="H27" s="5" t="s">
        <v>152</v>
      </c>
      <c r="I27" s="4" t="s">
        <v>66</v>
      </c>
      <c r="J27" s="4"/>
      <c r="K27" s="5"/>
    </row>
    <row r="28" customFormat="false" ht="15" hidden="false" customHeight="false" outlineLevel="0" collapsed="false">
      <c r="A28" s="4" t="n">
        <v>24</v>
      </c>
      <c r="B28" s="4" t="s">
        <v>153</v>
      </c>
      <c r="C28" s="4" t="s">
        <v>149</v>
      </c>
      <c r="D28" s="4" t="s">
        <v>15</v>
      </c>
      <c r="E28" s="4"/>
      <c r="F28" s="4" t="s">
        <v>154</v>
      </c>
      <c r="G28" s="4" t="s">
        <v>151</v>
      </c>
      <c r="H28" s="5" t="s">
        <v>152</v>
      </c>
      <c r="I28" s="4" t="s">
        <v>66</v>
      </c>
      <c r="J28" s="4"/>
      <c r="K28" s="5"/>
    </row>
    <row r="29" customFormat="false" ht="15" hidden="false" customHeight="false" outlineLevel="0" collapsed="false">
      <c r="A29" s="4" t="n">
        <v>25</v>
      </c>
      <c r="B29" s="4" t="s">
        <v>155</v>
      </c>
      <c r="C29" s="4" t="s">
        <v>149</v>
      </c>
      <c r="D29" s="4" t="s">
        <v>15</v>
      </c>
      <c r="E29" s="4"/>
      <c r="F29" s="4" t="s">
        <v>156</v>
      </c>
      <c r="G29" s="4" t="s">
        <v>151</v>
      </c>
      <c r="H29" s="5" t="s">
        <v>152</v>
      </c>
      <c r="I29" s="4" t="s">
        <v>66</v>
      </c>
      <c r="J29" s="4"/>
      <c r="K29" s="5"/>
    </row>
  </sheetData>
  <dataValidations count="1">
    <dataValidation allowBlank="true" errorStyle="stop" operator="between" showDropDown="false" showErrorMessage="false" showInputMessage="false" sqref="I5:I229" type="list">
      <formula1>"Not sent,Sent,Draft ready – send manually,Replied,Demo done,Won,Not interested"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6" t="s">
        <v>10</v>
      </c>
      <c r="B1" s="6" t="s">
        <v>157</v>
      </c>
    </row>
    <row r="2" customFormat="false" ht="15" hidden="false" customHeight="false" outlineLevel="0" collapsed="false">
      <c r="A2" s="7" t="s">
        <v>66</v>
      </c>
      <c r="B2" s="7" t="n">
        <f aca="false">COUNTIF(Leads!$I$5:$I$229,A2)</f>
        <v>18</v>
      </c>
    </row>
    <row r="3" customFormat="false" ht="15" hidden="false" customHeight="false" outlineLevel="0" collapsed="false">
      <c r="A3" s="7" t="s">
        <v>20</v>
      </c>
      <c r="B3" s="7" t="n">
        <f aca="false">COUNTIF(Leads!$I$5:$I$229,A3)</f>
        <v>6</v>
      </c>
    </row>
    <row r="4" customFormat="false" ht="15" hidden="false" customHeight="false" outlineLevel="0" collapsed="false">
      <c r="A4" s="7" t="s">
        <v>58</v>
      </c>
      <c r="B4" s="7" t="n">
        <f aca="false">COUNTIF(Leads!$I$5:$I$229,A4)</f>
        <v>1</v>
      </c>
    </row>
    <row r="5" customFormat="false" ht="15" hidden="false" customHeight="false" outlineLevel="0" collapsed="false">
      <c r="A5" s="7" t="s">
        <v>158</v>
      </c>
      <c r="B5" s="7" t="n">
        <f aca="false">COUNTIF(Leads!$I$5:$I$229,A5)</f>
        <v>0</v>
      </c>
    </row>
    <row r="6" customFormat="false" ht="15" hidden="false" customHeight="false" outlineLevel="0" collapsed="false">
      <c r="A6" s="7" t="s">
        <v>159</v>
      </c>
      <c r="B6" s="7" t="n">
        <f aca="false">COUNTIF(Leads!$I$5:$I$229,A6)</f>
        <v>0</v>
      </c>
    </row>
    <row r="7" customFormat="false" ht="15" hidden="false" customHeight="false" outlineLevel="0" collapsed="false">
      <c r="A7" s="7" t="s">
        <v>160</v>
      </c>
      <c r="B7" s="7" t="n">
        <f aca="false">COUNTIF(Leads!$I$5:$I$229,A7)</f>
        <v>0</v>
      </c>
    </row>
    <row r="8" customFormat="false" ht="15" hidden="false" customHeight="false" outlineLevel="0" collapsed="false">
      <c r="A8" s="7" t="s">
        <v>161</v>
      </c>
      <c r="B8" s="7" t="n">
        <f aca="false">COUNTIF(Leads!$I$5:$I$229,A8)</f>
        <v>0</v>
      </c>
    </row>
    <row r="9" customFormat="false" ht="15" hidden="false" customHeight="false" outlineLevel="0" collapsed="false">
      <c r="A9" s="7" t="s">
        <v>162</v>
      </c>
      <c r="B9" s="7" t="n">
        <f aca="false">COUNTA(Leads!$B$5:$B$229)</f>
        <v>25</v>
      </c>
    </row>
    <row r="10" customFormat="false" ht="15" hidden="false" customHeight="false" outlineLevel="0" collapsed="false">
      <c r="A10" s="7" t="s">
        <v>163</v>
      </c>
      <c r="B10" s="7" t="n">
        <f aca="false">COUNTIF(Leads!$E$5:$E$229,"*@*")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2026-10-05T16:27:24Z</dcterms:created>
  <dc:creator>openpyxl</dc:creator>
  <dc:description/>
  <dc:language>en-US</dc:language>
  <cp:lastModifiedBy/>
  <dcterms:modified xsi:type="dcterms:W3CDTF">2026-10-05T16:27:24Z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